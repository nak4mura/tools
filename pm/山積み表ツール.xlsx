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メイン入力" sheetId="1" r:id="rId1"/>
    <sheet name="マスタ_工程" sheetId="2" r:id="rId2"/>
    <sheet name="マスタ_担当者" sheetId="3" r:id="rId3"/>
    <sheet name="マスタ_祝日" sheetId="4" r:id="rId4"/>
    <sheet name="マスタ_設定" sheetId="5" r:id="rId5"/>
    <sheet name="サマリー_担当者別" sheetId="6" r:id="rId6"/>
    <sheet name="サマリー_工程別" sheetId="7" r:id="rId7"/>
    <sheet name="ガントチャート" sheetId="8" r:id="rId8"/>
    <sheet name="ダッシュボード" sheetId="9" r:id="rId9"/>
  </sheets>
  <calcPr calcId="124519" fullCalcOnLoad="1"/>
</workbook>
</file>

<file path=xl/sharedStrings.xml><?xml version="1.0" encoding="utf-8"?>
<sst xmlns="http://schemas.openxmlformats.org/spreadsheetml/2006/main" count="180" uniqueCount="78">
  <si>
    <t>担当者</t>
  </si>
  <si>
    <t>工程</t>
  </si>
  <si>
    <t>2026/4</t>
  </si>
  <si>
    <t>2026/5</t>
  </si>
  <si>
    <t>2026/6</t>
  </si>
  <si>
    <t>2026/7</t>
  </si>
  <si>
    <t>2026/8</t>
  </si>
  <si>
    <t>2026/9</t>
  </si>
  <si>
    <t>2026/10</t>
  </si>
  <si>
    <t>2026/11</t>
  </si>
  <si>
    <t>2026/12</t>
  </si>
  <si>
    <t>2027/1</t>
  </si>
  <si>
    <t>2027/2</t>
  </si>
  <si>
    <t>2027/3</t>
  </si>
  <si>
    <t>合計</t>
  </si>
  <si>
    <t>山田太郎</t>
  </si>
  <si>
    <t>要件定義</t>
  </si>
  <si>
    <t>設計</t>
  </si>
  <si>
    <t>佐藤花子</t>
  </si>
  <si>
    <t>開発</t>
  </si>
  <si>
    <t>鈴木一郎</t>
  </si>
  <si>
    <t>テスト</t>
  </si>
  <si>
    <t>田中美咲</t>
  </si>
  <si>
    <t>工程ID</t>
  </si>
  <si>
    <t>工程名</t>
  </si>
  <si>
    <t>色</t>
  </si>
  <si>
    <t>表示順</t>
  </si>
  <si>
    <t>REQ</t>
  </si>
  <si>
    <t>#FF6B6B</t>
  </si>
  <si>
    <t>DES</t>
  </si>
  <si>
    <t>#4ECDC4</t>
  </si>
  <si>
    <t>DEV</t>
  </si>
  <si>
    <t>#45B7D1</t>
  </si>
  <si>
    <t>TST</t>
  </si>
  <si>
    <t>#96CEB4</t>
  </si>
  <si>
    <t>REL</t>
  </si>
  <si>
    <t>リリース</t>
  </si>
  <si>
    <t>#FFEAA7</t>
  </si>
  <si>
    <t>担当者ID</t>
  </si>
  <si>
    <t>氏名</t>
  </si>
  <si>
    <t>所属</t>
  </si>
  <si>
    <t>役割</t>
  </si>
  <si>
    <t>YAMADA_T</t>
  </si>
  <si>
    <t>開発部</t>
  </si>
  <si>
    <t>SE</t>
  </si>
  <si>
    <t>SATO_H</t>
  </si>
  <si>
    <t>PG</t>
  </si>
  <si>
    <t>SUZUKI_K</t>
  </si>
  <si>
    <t>TANAKA_M</t>
  </si>
  <si>
    <t>日付</t>
  </si>
  <si>
    <t>祝日名</t>
  </si>
  <si>
    <t>種別</t>
  </si>
  <si>
    <t>元日</t>
  </si>
  <si>
    <t>国民の祝日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</si>
  <si>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</si>
  <si>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</si>
  <si>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</si>
  <si>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</si>
  <si>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</si>
  <si>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</si>
  <si>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</si>
  <si>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</si>
  <si>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</si>
  <si>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</si>
  <si>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</si>
  <si>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</si>
  <si>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</si>
  <si>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</si>
  <si>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</si>
  <si>
    <t>設定項目</t>
  </si>
  <si>
    <t>設定値</t>
  </si>
  <si>
    <t>対象年度</t>
  </si>
  <si>
    <t>年度開始月</t>
  </si>
  <si>
    <t>標準稼働時間/日</t>
  </si>
  <si>
    <t>過積載警告閾値</t>
  </si>
  <si>
    <t>山積み表ダッシュボード</t>
  </si>
  <si>
    <t>■ プロジェクト概要</t>
  </si>
  <si>
    <t>（VBAマクロ実行後に更新されます）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</si>
</sst>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/m/d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5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3">
        <v>40</v>
      </c>
      <c r="D2" s="3">
        <v>60</v>
      </c>
      <c r="E2" s="3">
        <v>20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f>SUM(C2:N2)</f>
        <v>0</v>
      </c>
    </row>
    <row r="3" spans="1:15">
      <c r="A3" s="2" t="s">
        <v>15</v>
      </c>
      <c r="B3" s="2" t="s">
        <v>17</v>
      </c>
      <c r="C3" s="3">
        <v>0</v>
      </c>
      <c r="D3" s="3">
        <v>40</v>
      </c>
      <c r="E3" s="3">
        <v>80</v>
      </c>
      <c r="F3" s="3">
        <v>60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f>SUM(C3:N3)</f>
        <v>0</v>
      </c>
    </row>
    <row r="4" spans="1:15">
      <c r="A4" s="2" t="s">
        <v>18</v>
      </c>
      <c r="B4" s="2" t="s">
        <v>17</v>
      </c>
      <c r="C4" s="3">
        <v>60</v>
      </c>
      <c r="D4" s="3">
        <v>80</v>
      </c>
      <c r="E4" s="3">
        <v>40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f>SUM(C4:N4)</f>
        <v>0</v>
      </c>
    </row>
    <row r="5" spans="1:15">
      <c r="A5" s="2" t="s">
        <v>18</v>
      </c>
      <c r="B5" s="2" t="s">
        <v>19</v>
      </c>
      <c r="C5" s="3">
        <v>0</v>
      </c>
      <c r="D5" s="3">
        <v>0</v>
      </c>
      <c r="E5" s="3">
        <v>40</v>
      </c>
      <c r="F5" s="3">
        <v>80</v>
      </c>
      <c r="G5" s="3">
        <v>120</v>
      </c>
      <c r="H5" s="3">
        <v>80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f>SUM(C5:N5)</f>
        <v>0</v>
      </c>
    </row>
    <row r="6" spans="1:15">
      <c r="A6" s="2" t="s">
        <v>20</v>
      </c>
      <c r="B6" s="2" t="s">
        <v>19</v>
      </c>
      <c r="C6" s="3">
        <v>0</v>
      </c>
      <c r="D6" s="3">
        <v>0</v>
      </c>
      <c r="E6" s="3">
        <v>0</v>
      </c>
      <c r="F6" s="3">
        <v>40</v>
      </c>
      <c r="G6" s="3">
        <v>80</v>
      </c>
      <c r="H6" s="3">
        <v>120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f>SUM(C6:N6)</f>
        <v>0</v>
      </c>
    </row>
    <row r="7" spans="1:15">
      <c r="A7" s="2" t="s">
        <v>20</v>
      </c>
      <c r="B7" s="2" t="s">
        <v>21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40</v>
      </c>
      <c r="I7" s="3">
        <v>80</v>
      </c>
      <c r="J7" s="3">
        <v>120</v>
      </c>
      <c r="K7" s="3">
        <v>80</v>
      </c>
      <c r="L7" s="3">
        <v>0</v>
      </c>
      <c r="M7" s="3">
        <v>0</v>
      </c>
      <c r="N7" s="3">
        <v>0</v>
      </c>
      <c r="O7" s="3">
        <f>SUM(C7:N7)</f>
        <v>0</v>
      </c>
    </row>
    <row r="8" spans="1:15">
      <c r="A8" s="2" t="s">
        <v>22</v>
      </c>
      <c r="B8" s="2" t="s">
        <v>21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40</v>
      </c>
      <c r="K8" s="3">
        <v>80</v>
      </c>
      <c r="L8" s="3">
        <v>120</v>
      </c>
      <c r="M8" s="3">
        <v>60</v>
      </c>
      <c r="N8" s="3">
        <v>0</v>
      </c>
      <c r="O8" s="3">
        <f>SUM(C8:N8)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0.7109375" customWidth="1"/>
    <col min="2" max="2" width="12.7109375" customWidth="1"/>
    <col min="3" max="4" width="10.7109375" customWidth="1"/>
  </cols>
  <sheetData>
    <row r="1" spans="1:4">
      <c r="A1" s="1" t="s">
        <v>23</v>
      </c>
      <c r="B1" s="1" t="s">
        <v>24</v>
      </c>
      <c r="C1" s="1" t="s">
        <v>25</v>
      </c>
      <c r="D1" s="1" t="s">
        <v>26</v>
      </c>
    </row>
    <row r="2" spans="1:4">
      <c r="A2" s="2" t="s">
        <v>27</v>
      </c>
      <c r="B2" s="2" t="s">
        <v>16</v>
      </c>
      <c r="C2" s="2" t="s">
        <v>28</v>
      </c>
      <c r="D2" s="2">
        <v>1</v>
      </c>
    </row>
    <row r="3" spans="1:4">
      <c r="A3" s="2" t="s">
        <v>29</v>
      </c>
      <c r="B3" s="2" t="s">
        <v>17</v>
      </c>
      <c r="C3" s="2" t="s">
        <v>30</v>
      </c>
      <c r="D3" s="2">
        <v>2</v>
      </c>
    </row>
    <row r="4" spans="1:4">
      <c r="A4" s="2" t="s">
        <v>31</v>
      </c>
      <c r="B4" s="2" t="s">
        <v>19</v>
      </c>
      <c r="C4" s="2" t="s">
        <v>32</v>
      </c>
      <c r="D4" s="2">
        <v>3</v>
      </c>
    </row>
    <row r="5" spans="1:4">
      <c r="A5" s="2" t="s">
        <v>33</v>
      </c>
      <c r="B5" s="2" t="s">
        <v>21</v>
      </c>
      <c r="C5" s="2" t="s">
        <v>34</v>
      </c>
      <c r="D5" s="2">
        <v>4</v>
      </c>
    </row>
    <row r="6" spans="1:4">
      <c r="A6" s="2" t="s">
        <v>35</v>
      </c>
      <c r="B6" s="2" t="s">
        <v>36</v>
      </c>
      <c r="C6" s="2" t="s">
        <v>37</v>
      </c>
      <c r="D6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2" width="12.7109375" customWidth="1"/>
    <col min="3" max="3" width="10.7109375" customWidth="1"/>
    <col min="4" max="5" width="8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26</v>
      </c>
    </row>
    <row r="2" spans="1:5">
      <c r="A2" s="2" t="s">
        <v>42</v>
      </c>
      <c r="B2" s="2" t="s">
        <v>15</v>
      </c>
      <c r="C2" s="2" t="s">
        <v>43</v>
      </c>
      <c r="D2" s="2" t="s">
        <v>44</v>
      </c>
      <c r="E2" s="2">
        <v>1</v>
      </c>
    </row>
    <row r="3" spans="1:5">
      <c r="A3" s="2" t="s">
        <v>45</v>
      </c>
      <c r="B3" s="2" t="s">
        <v>18</v>
      </c>
      <c r="C3" s="2" t="s">
        <v>43</v>
      </c>
      <c r="D3" s="2" t="s">
        <v>46</v>
      </c>
      <c r="E3" s="2">
        <v>2</v>
      </c>
    </row>
    <row r="4" spans="1:5">
      <c r="A4" s="2" t="s">
        <v>47</v>
      </c>
      <c r="B4" s="2" t="s">
        <v>20</v>
      </c>
      <c r="C4" s="2" t="s">
        <v>43</v>
      </c>
      <c r="D4" s="2" t="s">
        <v>46</v>
      </c>
      <c r="E4" s="2">
        <v>3</v>
      </c>
    </row>
    <row r="5" spans="1:5">
      <c r="A5" s="2" t="s">
        <v>48</v>
      </c>
      <c r="B5" s="2" t="s">
        <v>22</v>
      </c>
      <c r="C5" s="2" t="s">
        <v>43</v>
      </c>
      <c r="D5" s="2" t="s">
        <v>46</v>
      </c>
      <c r="E5" s="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</cols>
  <sheetData>
    <row r="1" spans="1:3">
      <c r="A1" s="1" t="s">
        <v>49</v>
      </c>
      <c r="B1" s="1" t="s">
        <v>50</v>
      </c>
      <c r="C1" s="1" t="s">
        <v>51</v>
      </c>
    </row>
    <row r="2" spans="1:3">
      <c r="A2" s="4">
        <v>45292</v>
      </c>
      <c r="B2" s="2" t="s">
        <v>52</v>
      </c>
      <c r="C2" s="2" t="s">
        <v>53</v>
      </c>
    </row>
    <row r="3" spans="1:3">
      <c r="A3" s="4">
        <v>45299</v>
      </c>
      <c r="B3" s="2" t="s">
        <v>54</v>
      </c>
      <c r="C3" s="2" t="s">
        <v>53</v>
      </c>
    </row>
    <row r="4" spans="1:3">
      <c r="A4" s="4">
        <v>45333</v>
      </c>
      <c r="B4" s="2" t="s">
        <v>55</v>
      </c>
      <c r="C4" s="2" t="s">
        <v>53</v>
      </c>
    </row>
    <row r="5" spans="1:3">
      <c r="A5" s="4">
        <v>45345</v>
      </c>
      <c r="B5" s="2" t="s">
        <v>56</v>
      </c>
      <c r="C5" s="2" t="s">
        <v>53</v>
      </c>
    </row>
    <row r="6" spans="1:3">
      <c r="A6" s="4">
        <v>45371</v>
      </c>
      <c r="B6" s="2" t="s">
        <v>57</v>
      </c>
      <c r="C6" s="2" t="s">
        <v>53</v>
      </c>
    </row>
    <row r="7" spans="1:3">
      <c r="A7" s="4">
        <v>45411</v>
      </c>
      <c r="B7" s="2" t="s">
        <v>58</v>
      </c>
      <c r="C7" s="2" t="s">
        <v>53</v>
      </c>
    </row>
    <row r="8" spans="1:3">
      <c r="A8" s="4">
        <v>45415</v>
      </c>
      <c r="B8" s="2" t="s">
        <v>59</v>
      </c>
      <c r="C8" s="2" t="s">
        <v>53</v>
      </c>
    </row>
    <row r="9" spans="1:3">
      <c r="A9" s="4">
        <v>45416</v>
      </c>
      <c r="B9" s="2" t="s">
        <v>60</v>
      </c>
      <c r="C9" s="2" t="s">
        <v>53</v>
      </c>
    </row>
    <row r="10" spans="1:3">
      <c r="A10" s="4">
        <v>45417</v>
      </c>
      <c r="B10" s="2" t="s">
        <v>61</v>
      </c>
      <c r="C10" s="2" t="s">
        <v>53</v>
      </c>
    </row>
    <row r="11" spans="1:3">
      <c r="A11" s="4">
        <v>45488</v>
      </c>
      <c r="B11" s="2" t="s">
        <v>62</v>
      </c>
      <c r="C11" s="2" t="s">
        <v>53</v>
      </c>
    </row>
    <row r="12" spans="1:3">
      <c r="A12" s="4">
        <v>45515</v>
      </c>
      <c r="B12" s="2" t="s">
        <v>63</v>
      </c>
      <c r="C12" s="2" t="s">
        <v>53</v>
      </c>
    </row>
    <row r="13" spans="1:3">
      <c r="A13" s="4">
        <v>45551</v>
      </c>
      <c r="B13" s="2" t="s">
        <v>64</v>
      </c>
      <c r="C13" s="2" t="s">
        <v>53</v>
      </c>
    </row>
    <row r="14" spans="1:3">
      <c r="A14" s="4">
        <v>45557</v>
      </c>
      <c r="B14" s="2" t="s">
        <v>65</v>
      </c>
      <c r="C14" s="2" t="s">
        <v>53</v>
      </c>
    </row>
    <row r="15" spans="1:3">
      <c r="A15" s="4">
        <v>45579</v>
      </c>
      <c r="B15" s="2" t="s">
        <v>66</v>
      </c>
      <c r="C15" s="2" t="s">
        <v>53</v>
      </c>
    </row>
    <row r="16" spans="1:3">
      <c r="A16" s="4">
        <v>45599</v>
      </c>
      <c r="B16" s="2" t="s">
        <v>67</v>
      </c>
      <c r="C16" s="2" t="s">
        <v>53</v>
      </c>
    </row>
    <row r="17" spans="1:3">
      <c r="A17" s="4">
        <v>45619</v>
      </c>
      <c r="B17" s="2" t="s">
        <v>68</v>
      </c>
      <c r="C17" s="2" t="s">
        <v>53</v>
      </c>
    </row>
    <row r="18" spans="1:3">
      <c r="A18" s="4">
        <v>45658</v>
      </c>
      <c r="B18" s="2" t="s">
        <v>52</v>
      </c>
      <c r="C18" s="2" t="s">
        <v>53</v>
      </c>
    </row>
    <row r="19" spans="1:3">
      <c r="A19" s="4">
        <v>45670</v>
      </c>
      <c r="B19" s="2" t="s">
        <v>54</v>
      </c>
      <c r="C19" s="2" t="s">
        <v>53</v>
      </c>
    </row>
    <row r="20" spans="1:3">
      <c r="A20" s="4">
        <v>45699</v>
      </c>
      <c r="B20" s="2" t="s">
        <v>55</v>
      </c>
      <c r="C20" s="2" t="s">
        <v>53</v>
      </c>
    </row>
    <row r="21" spans="1:3">
      <c r="A21" s="4">
        <v>45711</v>
      </c>
      <c r="B21" s="2" t="s">
        <v>56</v>
      </c>
      <c r="C21" s="2" t="s">
        <v>53</v>
      </c>
    </row>
    <row r="22" spans="1:3">
      <c r="A22" s="4">
        <v>45736</v>
      </c>
      <c r="B22" s="2" t="s">
        <v>57</v>
      </c>
      <c r="C22" s="2" t="s">
        <v>53</v>
      </c>
    </row>
    <row r="23" spans="1:3">
      <c r="A23" s="4">
        <v>45776</v>
      </c>
      <c r="B23" s="2" t="s">
        <v>58</v>
      </c>
      <c r="C23" s="2" t="s">
        <v>53</v>
      </c>
    </row>
    <row r="24" spans="1:3">
      <c r="A24" s="4">
        <v>45780</v>
      </c>
      <c r="B24" s="2" t="s">
        <v>59</v>
      </c>
      <c r="C24" s="2" t="s">
        <v>53</v>
      </c>
    </row>
    <row r="25" spans="1:3">
      <c r="A25" s="4">
        <v>45781</v>
      </c>
      <c r="B25" s="2" t="s">
        <v>60</v>
      </c>
      <c r="C25" s="2" t="s">
        <v>53</v>
      </c>
    </row>
    <row r="26" spans="1:3">
      <c r="A26" s="4">
        <v>45782</v>
      </c>
      <c r="B26" s="2" t="s">
        <v>61</v>
      </c>
      <c r="C26" s="2" t="s">
        <v>53</v>
      </c>
    </row>
    <row r="27" spans="1:3">
      <c r="A27" s="4">
        <v>45859</v>
      </c>
      <c r="B27" s="2" t="s">
        <v>62</v>
      </c>
      <c r="C27" s="2" t="s">
        <v>53</v>
      </c>
    </row>
    <row r="28" spans="1:3">
      <c r="A28" s="4">
        <v>45880</v>
      </c>
      <c r="B28" s="2" t="s">
        <v>63</v>
      </c>
      <c r="C28" s="2" t="s">
        <v>53</v>
      </c>
    </row>
    <row r="29" spans="1:3">
      <c r="A29" s="4">
        <v>45915</v>
      </c>
      <c r="B29" s="2" t="s">
        <v>64</v>
      </c>
      <c r="C29" s="2" t="s">
        <v>53</v>
      </c>
    </row>
    <row r="30" spans="1:3">
      <c r="A30" s="4">
        <v>45923</v>
      </c>
      <c r="B30" s="2" t="s">
        <v>65</v>
      </c>
      <c r="C30" s="2" t="s">
        <v>53</v>
      </c>
    </row>
    <row r="31" spans="1:3">
      <c r="A31" s="4">
        <v>45943</v>
      </c>
      <c r="B31" s="2" t="s">
        <v>66</v>
      </c>
      <c r="C31" s="2" t="s">
        <v>53</v>
      </c>
    </row>
    <row r="32" spans="1:3">
      <c r="A32" s="4">
        <v>45964</v>
      </c>
      <c r="B32" s="2" t="s">
        <v>67</v>
      </c>
      <c r="C32" s="2" t="s">
        <v>53</v>
      </c>
    </row>
    <row r="33" spans="1:3">
      <c r="A33" s="4">
        <v>45984</v>
      </c>
      <c r="B33" s="2" t="s">
        <v>68</v>
      </c>
      <c r="C33" s="2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69</v>
      </c>
      <c r="B1" s="1" t="s">
        <v>70</v>
      </c>
    </row>
    <row r="2" spans="1:2">
      <c r="A2" s="2" t="s">
        <v>71</v>
      </c>
      <c r="B2" s="2">
        <v>2026</v>
      </c>
    </row>
    <row r="3" spans="1:2">
      <c r="A3" s="2" t="s">
        <v>72</v>
      </c>
      <c r="B3" s="2">
        <v>4</v>
      </c>
    </row>
    <row r="4" spans="1:2">
      <c r="A4" s="2" t="s">
        <v>73</v>
      </c>
      <c r="B4" s="2">
        <v>8</v>
      </c>
    </row>
    <row r="5" spans="1:2">
      <c r="A5" s="2" t="s">
        <v>74</v>
      </c>
      <c r="B5" s="2">
        <v>1.2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16</v>
      </c>
      <c r="C1" s="1" t="s">
        <v>17</v>
      </c>
      <c r="D1" s="1" t="s">
        <v>19</v>
      </c>
      <c r="E1" s="1" t="s">
        <v>21</v>
      </c>
      <c r="F1" s="1" t="s">
        <v>36</v>
      </c>
      <c r="G1" s="1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O1" s="1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5" t="s">
        <v>75</v>
      </c>
    </row>
    <row r="3" spans="1:1">
      <c r="A3" s="6" t="s">
        <v>76</v>
      </c>
    </row>
    <row r="4" spans="1:1">
      <c r="A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メイン入力</vt:lpstr>
      <vt:lpstr>マスタ_工程</vt:lpstr>
      <vt:lpstr>マスタ_担当者</vt:lpstr>
      <vt:lpstr>マスタ_祝日</vt:lpstr>
      <vt:lpstr>マスタ_設定</vt:lpstr>
      <vt:lpstr>サマリー_担当者別</vt:lpstr>
      <vt:lpstr>サマリー_工程別</vt:lpstr>
      <vt:lpstr>ガントチャート</vt:lpstr>
      <vt:lpstr>ダッシュボード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2026-03-30T13:38:25Z</dcterms:created>
  <dcterms:modified xsi:type="dcterms:W3CDTF">2026-03-30T13:38:25Z</dcterms:modified>
</cp:coreProperties>
</file>